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rma 3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<sst xmlns="http://schemas.openxmlformats.org/spreadsheetml/2006/main" count="109" uniqueCount="80">
  <si>
    <t xml:space="preserve">BOLETIM DA TURMA 3A - 3º Ano (Manhã) - ANO LETIVO 2024</t>
  </si>
  <si>
    <t xml:space="preserve">Matrícula</t>
  </si>
  <si>
    <t xml:space="preserve">Nome do Aluno</t>
  </si>
  <si>
    <t xml:space="preserve">Sexo</t>
  </si>
  <si>
    <t xml:space="preserve">Portugues</t>
  </si>
  <si>
    <t xml:space="preserve">Matematica</t>
  </si>
  <si>
    <t xml:space="preserve">Historia</t>
  </si>
  <si>
    <t xml:space="preserve">Geografia</t>
  </si>
  <si>
    <t xml:space="preserve">Ciencias</t>
  </si>
  <si>
    <t xml:space="preserve">Fisica</t>
  </si>
  <si>
    <t xml:space="preserve">Quimica</t>
  </si>
  <si>
    <t xml:space="preserve">Biologia</t>
  </si>
  <si>
    <t xml:space="preserve">Ingles</t>
  </si>
  <si>
    <t xml:space="preserve">Educacao Fisica</t>
  </si>
  <si>
    <t xml:space="preserve">Arte</t>
  </si>
  <si>
    <t xml:space="preserve">Filosofia</t>
  </si>
  <si>
    <t xml:space="preserve">Média Geral</t>
  </si>
  <si>
    <t xml:space="preserve">Situação</t>
  </si>
  <si>
    <t xml:space="preserve">20243A001</t>
  </si>
  <si>
    <t xml:space="preserve">Larissa Nascimento</t>
  </si>
  <si>
    <t xml:space="preserve">F</t>
  </si>
  <si>
    <t xml:space="preserve">20243A002</t>
  </si>
  <si>
    <t xml:space="preserve">João Carvalho</t>
  </si>
  <si>
    <t xml:space="preserve">M</t>
  </si>
  <si>
    <t xml:space="preserve">20243A003</t>
  </si>
  <si>
    <t xml:space="preserve">Pedro Ferreira</t>
  </si>
  <si>
    <t xml:space="preserve">20243A004</t>
  </si>
  <si>
    <t xml:space="preserve">Leonardo Costa</t>
  </si>
  <si>
    <t xml:space="preserve">20243A005</t>
  </si>
  <si>
    <t xml:space="preserve">Beatriz Carvalho</t>
  </si>
  <si>
    <t xml:space="preserve">20243A006</t>
  </si>
  <si>
    <t xml:space="preserve">Diego Souza</t>
  </si>
  <si>
    <t xml:space="preserve">20243A007</t>
  </si>
  <si>
    <t xml:space="preserve">Diego Costa</t>
  </si>
  <si>
    <t xml:space="preserve">20243A008</t>
  </si>
  <si>
    <t xml:space="preserve">Diego Nascimento</t>
  </si>
  <si>
    <t xml:space="preserve">20243A009</t>
  </si>
  <si>
    <t xml:space="preserve">Bruno Nascimento</t>
  </si>
  <si>
    <t xml:space="preserve">20243A010</t>
  </si>
  <si>
    <t xml:space="preserve">Thiago Oliveira</t>
  </si>
  <si>
    <t xml:space="preserve">20243A011</t>
  </si>
  <si>
    <t xml:space="preserve">Gustavo Gomes</t>
  </si>
  <si>
    <t xml:space="preserve">20243A012</t>
  </si>
  <si>
    <t xml:space="preserve">Rafael Carvalho</t>
  </si>
  <si>
    <t xml:space="preserve">20243A013</t>
  </si>
  <si>
    <t xml:space="preserve">André Silva</t>
  </si>
  <si>
    <t xml:space="preserve">20243A014</t>
  </si>
  <si>
    <t xml:space="preserve">Fernanda Costa</t>
  </si>
  <si>
    <t xml:space="preserve">20243A015</t>
  </si>
  <si>
    <t xml:space="preserve">Bruno Lima</t>
  </si>
  <si>
    <t xml:space="preserve">20243A016</t>
  </si>
  <si>
    <t xml:space="preserve">Mariana Martins</t>
  </si>
  <si>
    <t xml:space="preserve">20243A017</t>
  </si>
  <si>
    <t xml:space="preserve">Carolina Costa</t>
  </si>
  <si>
    <t xml:space="preserve">20243A018</t>
  </si>
  <si>
    <t xml:space="preserve">20243A019</t>
  </si>
  <si>
    <t xml:space="preserve">Leticia Nascimento</t>
  </si>
  <si>
    <t xml:space="preserve">20243A020</t>
  </si>
  <si>
    <t xml:space="preserve">Rodrigo Ferreira</t>
  </si>
  <si>
    <t xml:space="preserve">20243A021</t>
  </si>
  <si>
    <t xml:space="preserve">Fernanda Nascimento</t>
  </si>
  <si>
    <t xml:space="preserve">20243A022</t>
  </si>
  <si>
    <t xml:space="preserve">Rodrigo Oliveira</t>
  </si>
  <si>
    <t xml:space="preserve">20243A023</t>
  </si>
  <si>
    <t xml:space="preserve">Beatriz Rodrigues</t>
  </si>
  <si>
    <t xml:space="preserve">20243A024</t>
  </si>
  <si>
    <t xml:space="preserve">Diego Gomes</t>
  </si>
  <si>
    <t xml:space="preserve">20243A025</t>
  </si>
  <si>
    <t xml:space="preserve">Beatriz Martins</t>
  </si>
  <si>
    <t xml:space="preserve">20243A026</t>
  </si>
  <si>
    <t xml:space="preserve">Fernanda Oliveira</t>
  </si>
  <si>
    <t xml:space="preserve">20243A027</t>
  </si>
  <si>
    <t xml:space="preserve">Diego Ferreira</t>
  </si>
  <si>
    <t xml:space="preserve">20243A028</t>
  </si>
  <si>
    <t xml:space="preserve">Ana Silva</t>
  </si>
  <si>
    <t xml:space="preserve">20243A029</t>
  </si>
  <si>
    <t xml:space="preserve">Leonardo Carvalho</t>
  </si>
  <si>
    <t xml:space="preserve">20243A030</t>
  </si>
  <si>
    <t xml:space="preserve">Isabela Ferreira</t>
  </si>
  <si>
    <t xml:space="preserve">MÉDIA DA TURMA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</si>
</sst>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17" min="4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9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">
        <v>18</v>
      </c>
      <c r="B3" s="3" t="s">
        <v>19</v>
      </c>
      <c r="C3" s="3" t="s">
        <v>20</v>
      </c>
      <c r="D3" s="3" t="n">
        <v>9.2</v>
      </c>
      <c r="E3" s="3" t="n">
        <v>4.5</v>
      </c>
      <c r="F3" s="3" t="n">
        <v>6.6</v>
      </c>
      <c r="G3" s="3" t="n">
        <v>6.8</v>
      </c>
      <c r="H3" s="3" t="n">
        <v>8.9</v>
      </c>
      <c r="I3" s="3" t="n">
        <v>8.1</v>
      </c>
      <c r="J3" s="3" t="n">
        <v>8.2</v>
      </c>
      <c r="K3" s="3" t="n">
        <v>6.6</v>
      </c>
      <c r="L3" s="3" t="n">
        <v>6.1</v>
      </c>
      <c r="M3" s="3" t="n">
        <v>5.6</v>
      </c>
      <c r="N3" s="3" t="n">
        <v>8.6</v>
      </c>
      <c r="O3" s="3" t="n">
        <v>8.7</v>
      </c>
      <c r="P3" s="3" t="n">
        <f aca="false">AVERAGE(D3:O3)</f>
        <v>7.325</v>
      </c>
      <c r="Q3" s="3" t="str">
        <f aca="false">IF(P3&gt;=7,"Aprovado",IF(P3&gt;=5,"Recuperação","Reprovado"))</f>
        <v>Aprovado</v>
      </c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n">
        <v>5.6</v>
      </c>
      <c r="E4" s="4" t="n">
        <v>8.8</v>
      </c>
      <c r="F4" s="4" t="n">
        <v>7.9</v>
      </c>
      <c r="G4" s="4" t="n">
        <v>5.4</v>
      </c>
      <c r="H4" s="4" t="n">
        <v>8.2</v>
      </c>
      <c r="I4" s="4" t="n">
        <v>5.3</v>
      </c>
      <c r="J4" s="4" t="n">
        <v>6.6</v>
      </c>
      <c r="K4" s="4" t="n">
        <v>5.7</v>
      </c>
      <c r="L4" s="4" t="n">
        <v>6.4</v>
      </c>
      <c r="M4" s="4" t="n">
        <v>6.1</v>
      </c>
      <c r="N4" s="4" t="n">
        <v>6.4</v>
      </c>
      <c r="O4" s="4" t="n">
        <v>8.1</v>
      </c>
      <c r="P4" s="4" t="n">
        <f aca="false">AVERAGE(D4:O4)</f>
        <v>6.70833333333333</v>
      </c>
      <c r="Q4" s="4" t="str">
        <f aca="false">IF(P4&gt;=7,"Aprovado",IF(P4&gt;=5,"Recuperação","Reprovado"))</f>
        <v>Recuperação</v>
      </c>
    </row>
    <row r="5" customFormat="false" ht="15" hidden="false" customHeight="false" outlineLevel="0" collapsed="false">
      <c r="A5" s="3" t="s">
        <v>24</v>
      </c>
      <c r="B5" s="3" t="s">
        <v>25</v>
      </c>
      <c r="C5" s="3" t="s">
        <v>23</v>
      </c>
      <c r="D5" s="3" t="n">
        <v>8.6</v>
      </c>
      <c r="E5" s="3" t="n">
        <v>6.7</v>
      </c>
      <c r="F5" s="3" t="n">
        <v>7.3</v>
      </c>
      <c r="G5" s="3" t="n">
        <v>7.9</v>
      </c>
      <c r="H5" s="3" t="n">
        <v>9.4</v>
      </c>
      <c r="I5" s="3" t="n">
        <v>8.4</v>
      </c>
      <c r="J5" s="3" t="n">
        <v>9</v>
      </c>
      <c r="K5" s="3" t="n">
        <v>8.5</v>
      </c>
      <c r="L5" s="3" t="n">
        <v>8.6</v>
      </c>
      <c r="M5" s="3" t="n">
        <v>4.9</v>
      </c>
      <c r="N5" s="3" t="n">
        <v>8.3</v>
      </c>
      <c r="O5" s="3" t="n">
        <v>7.5</v>
      </c>
      <c r="P5" s="3" t="n">
        <f aca="false">AVERAGE(D5:O5)</f>
        <v>7.925</v>
      </c>
      <c r="Q5" s="3" t="str">
        <f aca="false">IF(P5&gt;=7,"Aprovado",IF(P5&gt;=5,"Recuperação","Reprovado"))</f>
        <v>Aprovado</v>
      </c>
    </row>
    <row r="6" customFormat="false" ht="15" hidden="false" customHeight="false" outlineLevel="0" collapsed="false">
      <c r="A6" s="4" t="s">
        <v>26</v>
      </c>
      <c r="B6" s="4" t="s">
        <v>27</v>
      </c>
      <c r="C6" s="4" t="s">
        <v>23</v>
      </c>
      <c r="D6" s="4" t="n">
        <v>7.7</v>
      </c>
      <c r="E6" s="4" t="n">
        <v>7.9</v>
      </c>
      <c r="F6" s="4" t="n">
        <v>6.6</v>
      </c>
      <c r="G6" s="4" t="n">
        <v>5.5</v>
      </c>
      <c r="H6" s="4" t="n">
        <v>8.9</v>
      </c>
      <c r="I6" s="4" t="n">
        <v>6</v>
      </c>
      <c r="J6" s="4" t="n">
        <v>8.4</v>
      </c>
      <c r="K6" s="4" t="n">
        <v>7.5</v>
      </c>
      <c r="L6" s="4" t="n">
        <v>6.5</v>
      </c>
      <c r="M6" s="4" t="n">
        <v>3.8</v>
      </c>
      <c r="N6" s="4" t="n">
        <v>5.5</v>
      </c>
      <c r="O6" s="4" t="n">
        <v>5.8</v>
      </c>
      <c r="P6" s="4" t="n">
        <f aca="false">AVERAGE(D6:O6)</f>
        <v>6.675</v>
      </c>
      <c r="Q6" s="4" t="str">
        <f aca="false">IF(P6&gt;=7,"Aprovado",IF(P6&gt;=5,"Recuperação","Reprovado"))</f>
        <v>Recuperação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20</v>
      </c>
      <c r="D7" s="3" t="n">
        <v>7.4</v>
      </c>
      <c r="E7" s="3" t="n">
        <v>10</v>
      </c>
      <c r="F7" s="3" t="n">
        <v>7.8</v>
      </c>
      <c r="G7" s="3" t="n">
        <v>4.5</v>
      </c>
      <c r="H7" s="3" t="n">
        <v>7.9</v>
      </c>
      <c r="I7" s="3" t="n">
        <v>9</v>
      </c>
      <c r="J7" s="3" t="n">
        <v>5.9</v>
      </c>
      <c r="K7" s="3" t="n">
        <v>6.6</v>
      </c>
      <c r="L7" s="3" t="n">
        <v>7.5</v>
      </c>
      <c r="M7" s="3" t="n">
        <v>5</v>
      </c>
      <c r="N7" s="3" t="n">
        <v>5.8</v>
      </c>
      <c r="O7" s="3" t="n">
        <v>7.2</v>
      </c>
      <c r="P7" s="3" t="n">
        <f aca="false">AVERAGE(D7:O7)</f>
        <v>7.05</v>
      </c>
      <c r="Q7" s="3" t="str">
        <f aca="false">IF(P7&gt;=7,"Aprovado",IF(P7&gt;=5,"Recuperação","Reprovado"))</f>
        <v>Aprovado</v>
      </c>
    </row>
    <row r="8" customFormat="false" ht="15" hidden="false" customHeight="false" outlineLevel="0" collapsed="false">
      <c r="A8" s="4" t="s">
        <v>30</v>
      </c>
      <c r="B8" s="4" t="s">
        <v>31</v>
      </c>
      <c r="C8" s="4" t="s">
        <v>23</v>
      </c>
      <c r="D8" s="4" t="n">
        <v>7.4</v>
      </c>
      <c r="E8" s="4" t="n">
        <v>6.5</v>
      </c>
      <c r="F8" s="4" t="n">
        <v>7.2</v>
      </c>
      <c r="G8" s="4" t="n">
        <v>9.1</v>
      </c>
      <c r="H8" s="4" t="n">
        <v>8.4</v>
      </c>
      <c r="I8" s="4" t="n">
        <v>6</v>
      </c>
      <c r="J8" s="4" t="n">
        <v>9.2</v>
      </c>
      <c r="K8" s="4" t="n">
        <v>8.7</v>
      </c>
      <c r="L8" s="4" t="n">
        <v>7.8</v>
      </c>
      <c r="M8" s="4" t="n">
        <v>6.3</v>
      </c>
      <c r="N8" s="4" t="n">
        <v>7.3</v>
      </c>
      <c r="O8" s="4" t="n">
        <v>6.2</v>
      </c>
      <c r="P8" s="4" t="n">
        <f aca="false">AVERAGE(D8:O8)</f>
        <v>7.50833333333333</v>
      </c>
      <c r="Q8" s="4" t="str">
        <f aca="false">IF(P8&gt;=7,"Aprovado",IF(P8&gt;=5,"Recuperação","Reprovado"))</f>
        <v>Aprovado</v>
      </c>
    </row>
    <row r="9" customFormat="false" ht="15" hidden="false" customHeight="false" outlineLevel="0" collapsed="false">
      <c r="A9" s="3" t="s">
        <v>32</v>
      </c>
      <c r="B9" s="3" t="s">
        <v>33</v>
      </c>
      <c r="C9" s="3" t="s">
        <v>23</v>
      </c>
      <c r="D9" s="3" t="n">
        <v>9.6</v>
      </c>
      <c r="E9" s="3" t="n">
        <v>8.8</v>
      </c>
      <c r="F9" s="3" t="n">
        <v>8.3</v>
      </c>
      <c r="G9" s="3" t="n">
        <v>4.7</v>
      </c>
      <c r="H9" s="3" t="n">
        <v>8.4</v>
      </c>
      <c r="I9" s="3" t="n">
        <v>6.6</v>
      </c>
      <c r="J9" s="3" t="n">
        <v>6.2</v>
      </c>
      <c r="K9" s="3" t="n">
        <v>8</v>
      </c>
      <c r="L9" s="3" t="n">
        <v>6.8</v>
      </c>
      <c r="M9" s="3" t="n">
        <v>7.6</v>
      </c>
      <c r="N9" s="3" t="n">
        <v>7.4</v>
      </c>
      <c r="O9" s="3" t="n">
        <v>8.3</v>
      </c>
      <c r="P9" s="3" t="n">
        <f aca="false">AVERAGE(D9:O9)</f>
        <v>7.55833333333333</v>
      </c>
      <c r="Q9" s="3" t="str">
        <f aca="false">IF(P9&gt;=7,"Aprovado",IF(P9&gt;=5,"Recuperação","Reprovado"))</f>
        <v>Aprovado</v>
      </c>
    </row>
    <row r="10" customFormat="false" ht="15" hidden="false" customHeight="false" outlineLevel="0" collapsed="false">
      <c r="A10" s="4" t="s">
        <v>34</v>
      </c>
      <c r="B10" s="4" t="s">
        <v>35</v>
      </c>
      <c r="C10" s="4" t="s">
        <v>23</v>
      </c>
      <c r="D10" s="4" t="n">
        <v>5.8</v>
      </c>
      <c r="E10" s="4" t="n">
        <v>5.3</v>
      </c>
      <c r="F10" s="4" t="n">
        <v>7.9</v>
      </c>
      <c r="G10" s="4" t="n">
        <v>8</v>
      </c>
      <c r="H10" s="4" t="n">
        <v>8.2</v>
      </c>
      <c r="I10" s="4" t="n">
        <v>5.4</v>
      </c>
      <c r="J10" s="4" t="n">
        <v>8.5</v>
      </c>
      <c r="K10" s="4" t="n">
        <v>8.8</v>
      </c>
      <c r="L10" s="4" t="n">
        <v>7.1</v>
      </c>
      <c r="M10" s="4" t="n">
        <v>7.2</v>
      </c>
      <c r="N10" s="4" t="n">
        <v>8.1</v>
      </c>
      <c r="O10" s="4" t="n">
        <v>7.7</v>
      </c>
      <c r="P10" s="4" t="n">
        <f aca="false">AVERAGE(D10:O10)</f>
        <v>7.33333333333333</v>
      </c>
      <c r="Q10" s="4" t="str">
        <f aca="false">IF(P10&gt;=7,"Aprovado",IF(P10&gt;=5,"Recuperação","Reprovado"))</f>
        <v>Aprovado</v>
      </c>
    </row>
    <row r="11" customFormat="false" ht="15" hidden="false" customHeight="false" outlineLevel="0" collapsed="false">
      <c r="A11" s="3" t="s">
        <v>36</v>
      </c>
      <c r="B11" s="3" t="s">
        <v>37</v>
      </c>
      <c r="C11" s="3" t="s">
        <v>23</v>
      </c>
      <c r="D11" s="3" t="n">
        <v>6.1</v>
      </c>
      <c r="E11" s="3" t="n">
        <v>6.3</v>
      </c>
      <c r="F11" s="3" t="n">
        <v>7.4</v>
      </c>
      <c r="G11" s="3" t="n">
        <v>6.3</v>
      </c>
      <c r="H11" s="3" t="n">
        <v>7.9</v>
      </c>
      <c r="I11" s="3" t="n">
        <v>7.9</v>
      </c>
      <c r="J11" s="3" t="n">
        <v>6</v>
      </c>
      <c r="K11" s="3" t="n">
        <v>5.8</v>
      </c>
      <c r="L11" s="3" t="n">
        <v>9.5</v>
      </c>
      <c r="M11" s="3" t="n">
        <v>8.2</v>
      </c>
      <c r="N11" s="3" t="n">
        <v>5.6</v>
      </c>
      <c r="O11" s="3" t="n">
        <v>7.2</v>
      </c>
      <c r="P11" s="3" t="n">
        <f aca="false">AVERAGE(D11:O11)</f>
        <v>7.01666666666667</v>
      </c>
      <c r="Q11" s="3" t="str">
        <f aca="false">IF(P11&gt;=7,"Aprovado",IF(P11&gt;=5,"Recuperação","Reprovado"))</f>
        <v>Aprovado</v>
      </c>
    </row>
    <row r="12" customFormat="false" ht="15" hidden="false" customHeight="false" outlineLevel="0" collapsed="false">
      <c r="A12" s="4" t="s">
        <v>38</v>
      </c>
      <c r="B12" s="4" t="s">
        <v>39</v>
      </c>
      <c r="C12" s="4" t="s">
        <v>23</v>
      </c>
      <c r="D12" s="4" t="n">
        <v>7.2</v>
      </c>
      <c r="E12" s="4" t="n">
        <v>7.3</v>
      </c>
      <c r="F12" s="4" t="n">
        <v>6.2</v>
      </c>
      <c r="G12" s="4" t="n">
        <v>8.5</v>
      </c>
      <c r="H12" s="4" t="n">
        <v>7.9</v>
      </c>
      <c r="I12" s="4" t="n">
        <v>9</v>
      </c>
      <c r="J12" s="4" t="n">
        <v>6</v>
      </c>
      <c r="K12" s="4" t="n">
        <v>7</v>
      </c>
      <c r="L12" s="4" t="n">
        <v>8.8</v>
      </c>
      <c r="M12" s="4" t="n">
        <v>6.7</v>
      </c>
      <c r="N12" s="4" t="n">
        <v>7.6</v>
      </c>
      <c r="O12" s="4" t="n">
        <v>5.7</v>
      </c>
      <c r="P12" s="4" t="n">
        <f aca="false">AVERAGE(D12:O12)</f>
        <v>7.325</v>
      </c>
      <c r="Q12" s="4" t="str">
        <f aca="false">IF(P12&gt;=7,"Aprovado",IF(P12&gt;=5,"Recuperação","Reprovado"))</f>
        <v>Aprovado</v>
      </c>
    </row>
    <row r="13" customFormat="false" ht="15" hidden="false" customHeight="false" outlineLevel="0" collapsed="false">
      <c r="A13" s="3" t="s">
        <v>40</v>
      </c>
      <c r="B13" s="3" t="s">
        <v>41</v>
      </c>
      <c r="C13" s="3" t="s">
        <v>23</v>
      </c>
      <c r="D13" s="3" t="n">
        <v>5.4</v>
      </c>
      <c r="E13" s="3" t="n">
        <v>7.5</v>
      </c>
      <c r="F13" s="3" t="n">
        <v>8.2</v>
      </c>
      <c r="G13" s="3" t="n">
        <v>7.1</v>
      </c>
      <c r="H13" s="3" t="n">
        <v>9.5</v>
      </c>
      <c r="I13" s="3" t="n">
        <v>7.4</v>
      </c>
      <c r="J13" s="3" t="n">
        <v>6</v>
      </c>
      <c r="K13" s="3" t="n">
        <v>8.9</v>
      </c>
      <c r="L13" s="3" t="n">
        <v>5.7</v>
      </c>
      <c r="M13" s="3" t="n">
        <v>5.6</v>
      </c>
      <c r="N13" s="3" t="n">
        <v>7.1</v>
      </c>
      <c r="O13" s="3" t="n">
        <v>6</v>
      </c>
      <c r="P13" s="3" t="n">
        <f aca="false">AVERAGE(D13:O13)</f>
        <v>7.03333333333333</v>
      </c>
      <c r="Q13" s="3" t="str">
        <f aca="false">IF(P13&gt;=7,"Aprovado",IF(P13&gt;=5,"Recuperação","Reprovado"))</f>
        <v>Aprovado</v>
      </c>
    </row>
    <row r="14" customFormat="false" ht="15" hidden="false" customHeight="false" outlineLevel="0" collapsed="false">
      <c r="A14" s="4" t="s">
        <v>42</v>
      </c>
      <c r="B14" s="4" t="s">
        <v>43</v>
      </c>
      <c r="C14" s="4" t="s">
        <v>23</v>
      </c>
      <c r="D14" s="4" t="n">
        <v>6.2</v>
      </c>
      <c r="E14" s="4" t="n">
        <v>8.8</v>
      </c>
      <c r="F14" s="4" t="n">
        <v>8.2</v>
      </c>
      <c r="G14" s="4" t="n">
        <v>5.5</v>
      </c>
      <c r="H14" s="4" t="n">
        <v>8.7</v>
      </c>
      <c r="I14" s="4" t="n">
        <v>7</v>
      </c>
      <c r="J14" s="4" t="n">
        <v>7.5</v>
      </c>
      <c r="K14" s="4" t="n">
        <v>7.8</v>
      </c>
      <c r="L14" s="4" t="n">
        <v>6.5</v>
      </c>
      <c r="M14" s="4" t="n">
        <v>4.2</v>
      </c>
      <c r="N14" s="4" t="n">
        <v>8</v>
      </c>
      <c r="O14" s="4" t="n">
        <v>7.4</v>
      </c>
      <c r="P14" s="4" t="n">
        <f aca="false">AVERAGE(D14:O14)</f>
        <v>7.15</v>
      </c>
      <c r="Q14" s="4" t="str">
        <f aca="false">IF(P14&gt;=7,"Aprovado",IF(P14&gt;=5,"Recuperação","Reprovado"))</f>
        <v>Aprovado</v>
      </c>
    </row>
    <row r="15" customFormat="false" ht="15" hidden="false" customHeight="false" outlineLevel="0" collapsed="false">
      <c r="A15" s="3" t="s">
        <v>44</v>
      </c>
      <c r="B15" s="3" t="s">
        <v>45</v>
      </c>
      <c r="C15" s="3" t="s">
        <v>23</v>
      </c>
      <c r="D15" s="3" t="n">
        <v>6.8</v>
      </c>
      <c r="E15" s="3" t="n">
        <v>8.2</v>
      </c>
      <c r="F15" s="3" t="n">
        <v>5.3</v>
      </c>
      <c r="G15" s="3" t="n">
        <v>8.6</v>
      </c>
      <c r="H15" s="3" t="n">
        <v>6.8</v>
      </c>
      <c r="I15" s="3" t="n">
        <v>7.3</v>
      </c>
      <c r="J15" s="3" t="n">
        <v>6.6</v>
      </c>
      <c r="K15" s="3" t="n">
        <v>6.3</v>
      </c>
      <c r="L15" s="3" t="n">
        <v>7.5</v>
      </c>
      <c r="M15" s="3" t="n">
        <v>6.9</v>
      </c>
      <c r="N15" s="3" t="n">
        <v>6.6</v>
      </c>
      <c r="O15" s="3" t="n">
        <v>6.3</v>
      </c>
      <c r="P15" s="3" t="n">
        <f aca="false">AVERAGE(D15:O15)</f>
        <v>6.93333333333333</v>
      </c>
      <c r="Q15" s="3" t="str">
        <f aca="false">IF(P15&gt;=7,"Aprovado",IF(P15&gt;=5,"Recuperação","Reprovado"))</f>
        <v>Recuperação</v>
      </c>
    </row>
    <row r="16" customFormat="false" ht="15" hidden="false" customHeight="false" outlineLevel="0" collapsed="false">
      <c r="A16" s="4" t="s">
        <v>46</v>
      </c>
      <c r="B16" s="4" t="s">
        <v>47</v>
      </c>
      <c r="C16" s="4" t="s">
        <v>20</v>
      </c>
      <c r="D16" s="4" t="n">
        <v>7.1</v>
      </c>
      <c r="E16" s="4" t="n">
        <v>4.4</v>
      </c>
      <c r="F16" s="4" t="n">
        <v>4.5</v>
      </c>
      <c r="G16" s="4" t="n">
        <v>9.5</v>
      </c>
      <c r="H16" s="4" t="n">
        <v>5.7</v>
      </c>
      <c r="I16" s="4" t="n">
        <v>7.2</v>
      </c>
      <c r="J16" s="4" t="n">
        <v>8.6</v>
      </c>
      <c r="K16" s="4" t="n">
        <v>6.5</v>
      </c>
      <c r="L16" s="4" t="n">
        <v>7.9</v>
      </c>
      <c r="M16" s="4" t="n">
        <v>5.2</v>
      </c>
      <c r="N16" s="4" t="n">
        <v>8.8</v>
      </c>
      <c r="O16" s="4" t="n">
        <v>8</v>
      </c>
      <c r="P16" s="4" t="n">
        <f aca="false">AVERAGE(D16:O16)</f>
        <v>6.95</v>
      </c>
      <c r="Q16" s="4" t="str">
        <f aca="false">IF(P16&gt;=7,"Aprovado",IF(P16&gt;=5,"Recuperação","Reprovado"))</f>
        <v>Recuperação</v>
      </c>
    </row>
    <row r="17" customFormat="false" ht="15" hidden="false" customHeight="false" outlineLevel="0" collapsed="false">
      <c r="A17" s="3" t="s">
        <v>48</v>
      </c>
      <c r="B17" s="3" t="s">
        <v>49</v>
      </c>
      <c r="C17" s="3" t="s">
        <v>23</v>
      </c>
      <c r="D17" s="3" t="n">
        <v>7</v>
      </c>
      <c r="E17" s="3" t="n">
        <v>7.7</v>
      </c>
      <c r="F17" s="3" t="n">
        <v>6.6</v>
      </c>
      <c r="G17" s="3" t="n">
        <v>6.3</v>
      </c>
      <c r="H17" s="3" t="n">
        <v>6.1</v>
      </c>
      <c r="I17" s="3" t="n">
        <v>6.4</v>
      </c>
      <c r="J17" s="3" t="n">
        <v>6.8</v>
      </c>
      <c r="K17" s="3" t="n">
        <v>6.1</v>
      </c>
      <c r="L17" s="3" t="n">
        <v>9.7</v>
      </c>
      <c r="M17" s="3" t="n">
        <v>7.9</v>
      </c>
      <c r="N17" s="3" t="n">
        <v>4.4</v>
      </c>
      <c r="O17" s="3" t="n">
        <v>10</v>
      </c>
      <c r="P17" s="3" t="n">
        <f aca="false">AVERAGE(D17:O17)</f>
        <v>7.08333333333333</v>
      </c>
      <c r="Q17" s="3" t="str">
        <f aca="false">IF(P17&gt;=7,"Aprovado",IF(P17&gt;=5,"Recuperação","Reprovado"))</f>
        <v>Aprovado</v>
      </c>
    </row>
    <row r="18" customFormat="false" ht="15" hidden="false" customHeight="false" outlineLevel="0" collapsed="false">
      <c r="A18" s="4" t="s">
        <v>50</v>
      </c>
      <c r="B18" s="4" t="s">
        <v>51</v>
      </c>
      <c r="C18" s="4" t="s">
        <v>20</v>
      </c>
      <c r="D18" s="4" t="n">
        <v>7.7</v>
      </c>
      <c r="E18" s="4" t="n">
        <v>7</v>
      </c>
      <c r="F18" s="4" t="n">
        <v>6.4</v>
      </c>
      <c r="G18" s="4" t="n">
        <v>6.3</v>
      </c>
      <c r="H18" s="4" t="n">
        <v>7.8</v>
      </c>
      <c r="I18" s="4" t="n">
        <v>5.3</v>
      </c>
      <c r="J18" s="4" t="n">
        <v>7.9</v>
      </c>
      <c r="K18" s="4" t="n">
        <v>7</v>
      </c>
      <c r="L18" s="4" t="n">
        <v>5.4</v>
      </c>
      <c r="M18" s="4" t="n">
        <v>5.8</v>
      </c>
      <c r="N18" s="4" t="n">
        <v>7.7</v>
      </c>
      <c r="O18" s="4" t="n">
        <v>7.3</v>
      </c>
      <c r="P18" s="4" t="n">
        <f aca="false">AVERAGE(D18:O18)</f>
        <v>6.8</v>
      </c>
      <c r="Q18" s="4" t="str">
        <f aca="false">IF(P18&gt;=7,"Aprovado",IF(P18&gt;=5,"Recuperação","Reprovado"))</f>
        <v>Recuperação</v>
      </c>
    </row>
    <row r="19" customFormat="false" ht="15" hidden="false" customHeight="false" outlineLevel="0" collapsed="false">
      <c r="A19" s="3" t="s">
        <v>52</v>
      </c>
      <c r="B19" s="3" t="s">
        <v>53</v>
      </c>
      <c r="C19" s="3" t="s">
        <v>20</v>
      </c>
      <c r="D19" s="3" t="n">
        <v>7.5</v>
      </c>
      <c r="E19" s="3" t="n">
        <v>7.1</v>
      </c>
      <c r="F19" s="3" t="n">
        <v>8</v>
      </c>
      <c r="G19" s="3" t="n">
        <v>8.4</v>
      </c>
      <c r="H19" s="3" t="n">
        <v>6.2</v>
      </c>
      <c r="I19" s="3" t="n">
        <v>8.2</v>
      </c>
      <c r="J19" s="3" t="n">
        <v>7.8</v>
      </c>
      <c r="K19" s="3" t="n">
        <v>7.5</v>
      </c>
      <c r="L19" s="3" t="n">
        <v>6.4</v>
      </c>
      <c r="M19" s="3" t="n">
        <v>8</v>
      </c>
      <c r="N19" s="3" t="n">
        <v>6.6</v>
      </c>
      <c r="O19" s="3" t="n">
        <v>10</v>
      </c>
      <c r="P19" s="3" t="n">
        <f aca="false">AVERAGE(D19:O19)</f>
        <v>7.64166666666667</v>
      </c>
      <c r="Q19" s="3" t="str">
        <f aca="false">IF(P19&gt;=7,"Aprovado",IF(P19&gt;=5,"Recuperação","Reprovado"))</f>
        <v>Aprovado</v>
      </c>
    </row>
    <row r="20" customFormat="false" ht="15" hidden="false" customHeight="false" outlineLevel="0" collapsed="false">
      <c r="A20" s="4" t="s">
        <v>54</v>
      </c>
      <c r="B20" s="4" t="s">
        <v>39</v>
      </c>
      <c r="C20" s="4" t="s">
        <v>23</v>
      </c>
      <c r="D20" s="4" t="n">
        <v>5.9</v>
      </c>
      <c r="E20" s="4" t="n">
        <v>7.2</v>
      </c>
      <c r="F20" s="4" t="n">
        <v>6.3</v>
      </c>
      <c r="G20" s="4" t="n">
        <v>6.8</v>
      </c>
      <c r="H20" s="4" t="n">
        <v>7.1</v>
      </c>
      <c r="I20" s="4" t="n">
        <v>8.6</v>
      </c>
      <c r="J20" s="4" t="n">
        <v>8.3</v>
      </c>
      <c r="K20" s="4" t="n">
        <v>7.2</v>
      </c>
      <c r="L20" s="4" t="n">
        <v>8.5</v>
      </c>
      <c r="M20" s="4" t="n">
        <v>6.4</v>
      </c>
      <c r="N20" s="4" t="n">
        <v>9</v>
      </c>
      <c r="O20" s="4" t="n">
        <v>9</v>
      </c>
      <c r="P20" s="4" t="n">
        <f aca="false">AVERAGE(D20:O20)</f>
        <v>7.525</v>
      </c>
      <c r="Q20" s="4" t="str">
        <f aca="false">IF(P20&gt;=7,"Aprovado",IF(P20&gt;=5,"Recuperação","Reprovado"))</f>
        <v>Aprovado</v>
      </c>
    </row>
    <row r="21" customFormat="false" ht="15" hidden="false" customHeight="false" outlineLevel="0" collapsed="false">
      <c r="A21" s="3" t="s">
        <v>55</v>
      </c>
      <c r="B21" s="3" t="s">
        <v>56</v>
      </c>
      <c r="C21" s="3" t="s">
        <v>20</v>
      </c>
      <c r="D21" s="3" t="n">
        <v>6.7</v>
      </c>
      <c r="E21" s="3" t="n">
        <v>7.4</v>
      </c>
      <c r="F21" s="3" t="n">
        <v>6.2</v>
      </c>
      <c r="G21" s="3" t="n">
        <v>4.9</v>
      </c>
      <c r="H21" s="3" t="n">
        <v>6.7</v>
      </c>
      <c r="I21" s="3" t="n">
        <v>8.3</v>
      </c>
      <c r="J21" s="3" t="n">
        <v>8.7</v>
      </c>
      <c r="K21" s="3" t="n">
        <v>7.8</v>
      </c>
      <c r="L21" s="3" t="n">
        <v>9.2</v>
      </c>
      <c r="M21" s="3" t="n">
        <v>5.6</v>
      </c>
      <c r="N21" s="3" t="n">
        <v>6.5</v>
      </c>
      <c r="O21" s="3" t="n">
        <v>4.3</v>
      </c>
      <c r="P21" s="3" t="n">
        <f aca="false">AVERAGE(D21:O21)</f>
        <v>6.85833333333333</v>
      </c>
      <c r="Q21" s="3" t="str">
        <f aca="false">IF(P21&gt;=7,"Aprovado",IF(P21&gt;=5,"Recuperação","Reprovado"))</f>
        <v>Recuperação</v>
      </c>
    </row>
    <row r="22" customFormat="false" ht="15" hidden="false" customHeight="false" outlineLevel="0" collapsed="false">
      <c r="A22" s="4" t="s">
        <v>57</v>
      </c>
      <c r="B22" s="4" t="s">
        <v>58</v>
      </c>
      <c r="C22" s="4" t="s">
        <v>23</v>
      </c>
      <c r="D22" s="4" t="n">
        <v>6.5</v>
      </c>
      <c r="E22" s="4" t="n">
        <v>7.2</v>
      </c>
      <c r="F22" s="4" t="n">
        <v>7.4</v>
      </c>
      <c r="G22" s="4" t="n">
        <v>7.9</v>
      </c>
      <c r="H22" s="4" t="n">
        <v>7.3</v>
      </c>
      <c r="I22" s="4" t="n">
        <v>6.9</v>
      </c>
      <c r="J22" s="4" t="n">
        <v>6</v>
      </c>
      <c r="K22" s="4" t="n">
        <v>6.8</v>
      </c>
      <c r="L22" s="4" t="n">
        <v>7.7</v>
      </c>
      <c r="M22" s="4" t="n">
        <v>5.6</v>
      </c>
      <c r="N22" s="4" t="n">
        <v>6.8</v>
      </c>
      <c r="O22" s="4" t="n">
        <v>6.8</v>
      </c>
      <c r="P22" s="4" t="n">
        <f aca="false">AVERAGE(D22:O22)</f>
        <v>6.90833333333333</v>
      </c>
      <c r="Q22" s="4" t="str">
        <f aca="false">IF(P22&gt;=7,"Aprovado",IF(P22&gt;=5,"Recuperação","Reprovado"))</f>
        <v>Recuperação</v>
      </c>
    </row>
    <row r="23" customFormat="false" ht="15" hidden="false" customHeight="false" outlineLevel="0" collapsed="false">
      <c r="A23" s="3" t="s">
        <v>59</v>
      </c>
      <c r="B23" s="3" t="s">
        <v>60</v>
      </c>
      <c r="C23" s="3" t="s">
        <v>20</v>
      </c>
      <c r="D23" s="3" t="n">
        <v>6.9</v>
      </c>
      <c r="E23" s="3" t="n">
        <v>5.6</v>
      </c>
      <c r="F23" s="3" t="n">
        <v>7.5</v>
      </c>
      <c r="G23" s="3" t="n">
        <v>4.8</v>
      </c>
      <c r="H23" s="3" t="n">
        <v>10</v>
      </c>
      <c r="I23" s="3" t="n">
        <v>8.8</v>
      </c>
      <c r="J23" s="3" t="n">
        <v>6.3</v>
      </c>
      <c r="K23" s="3" t="n">
        <v>6.1</v>
      </c>
      <c r="L23" s="3" t="n">
        <v>6.7</v>
      </c>
      <c r="M23" s="3" t="n">
        <v>6.1</v>
      </c>
      <c r="N23" s="3" t="n">
        <v>8.8</v>
      </c>
      <c r="O23" s="3" t="n">
        <v>5.6</v>
      </c>
      <c r="P23" s="3" t="n">
        <f aca="false">AVERAGE(D23:O23)</f>
        <v>6.93333333333333</v>
      </c>
      <c r="Q23" s="3" t="str">
        <f aca="false">IF(P23&gt;=7,"Aprovado",IF(P23&gt;=5,"Recuperação","Reprovado"))</f>
        <v>Recuperação</v>
      </c>
    </row>
    <row r="24" customFormat="false" ht="15" hidden="false" customHeight="false" outlineLevel="0" collapsed="false">
      <c r="A24" s="4" t="s">
        <v>61</v>
      </c>
      <c r="B24" s="4" t="s">
        <v>62</v>
      </c>
      <c r="C24" s="4" t="s">
        <v>23</v>
      </c>
      <c r="D24" s="4" t="n">
        <v>4.6</v>
      </c>
      <c r="E24" s="4" t="n">
        <v>8.4</v>
      </c>
      <c r="F24" s="4" t="n">
        <v>7.8</v>
      </c>
      <c r="G24" s="4" t="n">
        <v>7.4</v>
      </c>
      <c r="H24" s="4" t="n">
        <v>7.6</v>
      </c>
      <c r="I24" s="4" t="n">
        <v>7.8</v>
      </c>
      <c r="J24" s="4" t="n">
        <v>6.3</v>
      </c>
      <c r="K24" s="4" t="n">
        <v>9</v>
      </c>
      <c r="L24" s="4" t="n">
        <v>5.4</v>
      </c>
      <c r="M24" s="4" t="n">
        <v>9.7</v>
      </c>
      <c r="N24" s="4" t="n">
        <v>9.2</v>
      </c>
      <c r="O24" s="4" t="n">
        <v>5.7</v>
      </c>
      <c r="P24" s="4" t="n">
        <f aca="false">AVERAGE(D24:O24)</f>
        <v>7.40833333333333</v>
      </c>
      <c r="Q24" s="4" t="str">
        <f aca="false">IF(P24&gt;=7,"Aprovado",IF(P24&gt;=5,"Recuperação","Reprovado"))</f>
        <v>Aprovado</v>
      </c>
    </row>
    <row r="25" customFormat="false" ht="15" hidden="false" customHeight="false" outlineLevel="0" collapsed="false">
      <c r="A25" s="3" t="s">
        <v>63</v>
      </c>
      <c r="B25" s="3" t="s">
        <v>64</v>
      </c>
      <c r="C25" s="3" t="s">
        <v>20</v>
      </c>
      <c r="D25" s="3" t="n">
        <v>8.2</v>
      </c>
      <c r="E25" s="3" t="n">
        <v>6.9</v>
      </c>
      <c r="F25" s="3" t="n">
        <v>5.9</v>
      </c>
      <c r="G25" s="3" t="n">
        <v>5.9</v>
      </c>
      <c r="H25" s="3" t="n">
        <v>8.7</v>
      </c>
      <c r="I25" s="3" t="n">
        <v>8.2</v>
      </c>
      <c r="J25" s="3" t="n">
        <v>5.8</v>
      </c>
      <c r="K25" s="3" t="n">
        <v>6.3</v>
      </c>
      <c r="L25" s="3" t="n">
        <v>8.1</v>
      </c>
      <c r="M25" s="3" t="n">
        <v>8.8</v>
      </c>
      <c r="N25" s="3" t="n">
        <v>8.2</v>
      </c>
      <c r="O25" s="3" t="n">
        <v>6.5</v>
      </c>
      <c r="P25" s="3" t="n">
        <f aca="false">AVERAGE(D25:O25)</f>
        <v>7.29166666666667</v>
      </c>
      <c r="Q25" s="3" t="str">
        <f aca="false">IF(P25&gt;=7,"Aprovado",IF(P25&gt;=5,"Recuperação","Reprovado"))</f>
        <v>Aprovado</v>
      </c>
    </row>
    <row r="26" customFormat="false" ht="15" hidden="false" customHeight="false" outlineLevel="0" collapsed="false">
      <c r="A26" s="4" t="s">
        <v>65</v>
      </c>
      <c r="B26" s="4" t="s">
        <v>66</v>
      </c>
      <c r="C26" s="4" t="s">
        <v>23</v>
      </c>
      <c r="D26" s="4" t="n">
        <v>7.6</v>
      </c>
      <c r="E26" s="4" t="n">
        <v>7.3</v>
      </c>
      <c r="F26" s="4" t="n">
        <v>6.1</v>
      </c>
      <c r="G26" s="4" t="n">
        <v>5.9</v>
      </c>
      <c r="H26" s="4" t="n">
        <v>5.9</v>
      </c>
      <c r="I26" s="4" t="n">
        <v>5.4</v>
      </c>
      <c r="J26" s="4" t="n">
        <v>5.6</v>
      </c>
      <c r="K26" s="4" t="n">
        <v>8.1</v>
      </c>
      <c r="L26" s="4" t="n">
        <v>5.4</v>
      </c>
      <c r="M26" s="4" t="n">
        <v>7.2</v>
      </c>
      <c r="N26" s="4" t="n">
        <v>6.4</v>
      </c>
      <c r="O26" s="4" t="n">
        <v>10</v>
      </c>
      <c r="P26" s="4" t="n">
        <f aca="false">AVERAGE(D26:O26)</f>
        <v>6.74166666666667</v>
      </c>
      <c r="Q26" s="4" t="str">
        <f aca="false">IF(P26&gt;=7,"Aprovado",IF(P26&gt;=5,"Recuperação","Reprovado"))</f>
        <v>Recuperação</v>
      </c>
    </row>
    <row r="27" customFormat="false" ht="15" hidden="false" customHeight="false" outlineLevel="0" collapsed="false">
      <c r="A27" s="3" t="s">
        <v>67</v>
      </c>
      <c r="B27" s="3" t="s">
        <v>68</v>
      </c>
      <c r="C27" s="3" t="s">
        <v>20</v>
      </c>
      <c r="D27" s="3" t="n">
        <v>7.7</v>
      </c>
      <c r="E27" s="3" t="n">
        <v>6</v>
      </c>
      <c r="F27" s="3" t="n">
        <v>5.3</v>
      </c>
      <c r="G27" s="3" t="n">
        <v>7.8</v>
      </c>
      <c r="H27" s="3" t="n">
        <v>7.9</v>
      </c>
      <c r="I27" s="3" t="n">
        <v>8.3</v>
      </c>
      <c r="J27" s="3" t="n">
        <v>6</v>
      </c>
      <c r="K27" s="3" t="n">
        <v>7.5</v>
      </c>
      <c r="L27" s="3" t="n">
        <v>8.8</v>
      </c>
      <c r="M27" s="3" t="n">
        <v>9.2</v>
      </c>
      <c r="N27" s="3" t="n">
        <v>5.6</v>
      </c>
      <c r="O27" s="3" t="n">
        <v>10</v>
      </c>
      <c r="P27" s="3" t="n">
        <f aca="false">AVERAGE(D27:O27)</f>
        <v>7.50833333333333</v>
      </c>
      <c r="Q27" s="3" t="str">
        <f aca="false">IF(P27&gt;=7,"Aprovado",IF(P27&gt;=5,"Recuperação","Reprovado"))</f>
        <v>Aprovado</v>
      </c>
    </row>
    <row r="28" customFormat="false" ht="15" hidden="false" customHeight="false" outlineLevel="0" collapsed="false">
      <c r="A28" s="4" t="s">
        <v>69</v>
      </c>
      <c r="B28" s="4" t="s">
        <v>70</v>
      </c>
      <c r="C28" s="4" t="s">
        <v>20</v>
      </c>
      <c r="D28" s="4" t="n">
        <v>7.3</v>
      </c>
      <c r="E28" s="4" t="n">
        <v>5.6</v>
      </c>
      <c r="F28" s="4" t="n">
        <v>8</v>
      </c>
      <c r="G28" s="4" t="n">
        <v>7.8</v>
      </c>
      <c r="H28" s="4" t="n">
        <v>8.2</v>
      </c>
      <c r="I28" s="4" t="n">
        <v>8.2</v>
      </c>
      <c r="J28" s="4" t="n">
        <v>7.5</v>
      </c>
      <c r="K28" s="4" t="n">
        <v>7.5</v>
      </c>
      <c r="L28" s="4" t="n">
        <v>9.6</v>
      </c>
      <c r="M28" s="4" t="n">
        <v>6.3</v>
      </c>
      <c r="N28" s="4" t="n">
        <v>4.3</v>
      </c>
      <c r="O28" s="4" t="n">
        <v>8.8</v>
      </c>
      <c r="P28" s="4" t="n">
        <f aca="false">AVERAGE(D28:O28)</f>
        <v>7.425</v>
      </c>
      <c r="Q28" s="4" t="str">
        <f aca="false">IF(P28&gt;=7,"Aprovado",IF(P28&gt;=5,"Recuperação","Reprovado"))</f>
        <v>Aprovado</v>
      </c>
    </row>
    <row r="29" customFormat="false" ht="15" hidden="false" customHeight="false" outlineLevel="0" collapsed="false">
      <c r="A29" s="3" t="s">
        <v>71</v>
      </c>
      <c r="B29" s="3" t="s">
        <v>72</v>
      </c>
      <c r="C29" s="3" t="s">
        <v>23</v>
      </c>
      <c r="D29" s="3" t="n">
        <v>9.1</v>
      </c>
      <c r="E29" s="3" t="n">
        <v>6.4</v>
      </c>
      <c r="F29" s="3" t="n">
        <v>7.5</v>
      </c>
      <c r="G29" s="3" t="n">
        <v>7.9</v>
      </c>
      <c r="H29" s="3" t="n">
        <v>8.7</v>
      </c>
      <c r="I29" s="3" t="n">
        <v>7.2</v>
      </c>
      <c r="J29" s="3" t="n">
        <v>8.3</v>
      </c>
      <c r="K29" s="3" t="n">
        <v>6.1</v>
      </c>
      <c r="L29" s="3" t="n">
        <v>8.3</v>
      </c>
      <c r="M29" s="3" t="n">
        <v>7.9</v>
      </c>
      <c r="N29" s="3" t="n">
        <v>6.3</v>
      </c>
      <c r="O29" s="3" t="n">
        <v>7.5</v>
      </c>
      <c r="P29" s="3" t="n">
        <f aca="false">AVERAGE(D29:O29)</f>
        <v>7.6</v>
      </c>
      <c r="Q29" s="3" t="str">
        <f aca="false">IF(P29&gt;=7,"Aprovado",IF(P29&gt;=5,"Recuperação","Reprovado"))</f>
        <v>Aprovado</v>
      </c>
    </row>
    <row r="30" customFormat="false" ht="15" hidden="false" customHeight="false" outlineLevel="0" collapsed="false">
      <c r="A30" s="4" t="s">
        <v>73</v>
      </c>
      <c r="B30" s="4" t="s">
        <v>74</v>
      </c>
      <c r="C30" s="4" t="s">
        <v>20</v>
      </c>
      <c r="D30" s="4" t="n">
        <v>6.9</v>
      </c>
      <c r="E30" s="4" t="n">
        <v>8.9</v>
      </c>
      <c r="F30" s="4" t="n">
        <v>8.3</v>
      </c>
      <c r="G30" s="4" t="n">
        <v>5.6</v>
      </c>
      <c r="H30" s="4" t="n">
        <v>7.2</v>
      </c>
      <c r="I30" s="4" t="n">
        <v>7.4</v>
      </c>
      <c r="J30" s="4" t="n">
        <v>7.7</v>
      </c>
      <c r="K30" s="4" t="n">
        <v>7.6</v>
      </c>
      <c r="L30" s="4" t="n">
        <v>7.1</v>
      </c>
      <c r="M30" s="4" t="n">
        <v>8.4</v>
      </c>
      <c r="N30" s="4" t="n">
        <v>6.9</v>
      </c>
      <c r="O30" s="4" t="n">
        <v>7.4</v>
      </c>
      <c r="P30" s="4" t="n">
        <f aca="false">AVERAGE(D30:O30)</f>
        <v>7.45</v>
      </c>
      <c r="Q30" s="4" t="str">
        <f aca="false">IF(P30&gt;=7,"Aprovado",IF(P30&gt;=5,"Recuperação","Reprovado"))</f>
        <v>Aprovado</v>
      </c>
    </row>
    <row r="31" customFormat="false" ht="15" hidden="false" customHeight="false" outlineLevel="0" collapsed="false">
      <c r="A31" s="3" t="s">
        <v>75</v>
      </c>
      <c r="B31" s="3" t="s">
        <v>76</v>
      </c>
      <c r="C31" s="3" t="s">
        <v>23</v>
      </c>
      <c r="D31" s="3" t="n">
        <v>7.8</v>
      </c>
      <c r="E31" s="3" t="n">
        <v>8.8</v>
      </c>
      <c r="F31" s="3" t="n">
        <v>8.6</v>
      </c>
      <c r="G31" s="3" t="n">
        <v>7.9</v>
      </c>
      <c r="H31" s="3" t="n">
        <v>7.3</v>
      </c>
      <c r="I31" s="3" t="n">
        <v>6.2</v>
      </c>
      <c r="J31" s="3" t="n">
        <v>9.2</v>
      </c>
      <c r="K31" s="3" t="n">
        <v>7.1</v>
      </c>
      <c r="L31" s="3" t="n">
        <v>9.8</v>
      </c>
      <c r="M31" s="3" t="n">
        <v>9.6</v>
      </c>
      <c r="N31" s="3" t="n">
        <v>5.4</v>
      </c>
      <c r="O31" s="3" t="n">
        <v>8.6</v>
      </c>
      <c r="P31" s="3" t="n">
        <f aca="false">AVERAGE(D31:O31)</f>
        <v>8.025</v>
      </c>
      <c r="Q31" s="3" t="str">
        <f aca="false">IF(P31&gt;=7,"Aprovado",IF(P31&gt;=5,"Recuperação","Reprovado"))</f>
        <v>Aprovado</v>
      </c>
    </row>
    <row r="32" customFormat="false" ht="15" hidden="false" customHeight="false" outlineLevel="0" collapsed="false">
      <c r="A32" s="4" t="s">
        <v>77</v>
      </c>
      <c r="B32" s="4" t="s">
        <v>78</v>
      </c>
      <c r="C32" s="4" t="s">
        <v>20</v>
      </c>
      <c r="D32" s="4" t="n">
        <v>7.2</v>
      </c>
      <c r="E32" s="4" t="n">
        <v>6.3</v>
      </c>
      <c r="F32" s="4" t="n">
        <v>5.7</v>
      </c>
      <c r="G32" s="4" t="n">
        <v>7.1</v>
      </c>
      <c r="H32" s="4" t="n">
        <v>7.9</v>
      </c>
      <c r="I32" s="4" t="n">
        <v>7.4</v>
      </c>
      <c r="J32" s="4" t="n">
        <v>6.5</v>
      </c>
      <c r="K32" s="4" t="n">
        <v>8.5</v>
      </c>
      <c r="L32" s="4" t="n">
        <v>5.5</v>
      </c>
      <c r="M32" s="4" t="n">
        <v>7.7</v>
      </c>
      <c r="N32" s="4" t="n">
        <v>6</v>
      </c>
      <c r="O32" s="4" t="n">
        <v>7.1</v>
      </c>
      <c r="P32" s="4" t="n">
        <f aca="false">AVERAGE(D32:O32)</f>
        <v>6.90833333333333</v>
      </c>
      <c r="Q32" s="4" t="str">
        <f aca="false">IF(P32&gt;=7,"Aprovado",IF(P32&gt;=5,"Recuperação","Reprovado"))</f>
        <v>Recuperação</v>
      </c>
    </row>
    <row r="33" customFormat="false" ht="15" hidden="false" customHeight="false" outlineLevel="0" collapsed="false">
      <c r="A33" s="5" t="s">
        <v>79</v>
      </c>
      <c r="B33" s="5"/>
      <c r="C33" s="5"/>
      <c r="D33" s="6" t="n">
        <f aca="false">AVERAGE(D3:D32)</f>
        <v>7.15666666666667</v>
      </c>
      <c r="E33" s="6" t="n">
        <f aca="false">AVERAGE(E3:E32)</f>
        <v>7.16</v>
      </c>
      <c r="F33" s="6" t="n">
        <f aca="false">AVERAGE(F3:F32)</f>
        <v>7.03333333333333</v>
      </c>
      <c r="G33" s="6" t="n">
        <f aca="false">AVERAGE(G3:G32)</f>
        <v>6.87</v>
      </c>
      <c r="H33" s="6" t="n">
        <f aca="false">AVERAGE(H3:H32)</f>
        <v>7.84666666666667</v>
      </c>
      <c r="I33" s="6" t="n">
        <f aca="false">AVERAGE(I3:I32)</f>
        <v>7.30666666666667</v>
      </c>
      <c r="J33" s="6" t="n">
        <f aca="false">AVERAGE(J3:J32)</f>
        <v>7.24666666666667</v>
      </c>
      <c r="K33" s="6" t="n">
        <f aca="false">AVERAGE(K3:K32)</f>
        <v>7.29666666666667</v>
      </c>
      <c r="L33" s="6" t="n">
        <f aca="false">AVERAGE(L3:L32)</f>
        <v>7.47666666666667</v>
      </c>
      <c r="M33" s="6" t="n">
        <f aca="false">AVERAGE(M3:M32)</f>
        <v>6.78333333333333</v>
      </c>
      <c r="N33" s="6" t="n">
        <f aca="false">AVERAGE(N3:N32)</f>
        <v>6.97333333333333</v>
      </c>
      <c r="O33" s="6" t="n">
        <f aca="false">AVERAGE(O3:O32)</f>
        <v>7.49</v>
      </c>
      <c r="P33" s="7" t="n">
        <f aca="false">AVERAGE(P3:P32)</f>
        <v>7.22</v>
      </c>
    </row>
  </sheetData>
  <mergeCells count="2">
    <mergeCell ref="A1:P1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2026-04-20T17:40:29Z</dcterms:created>
  <dc:creator>openpyxl</dc:creator>
  <dc:description/>
  <dc:language>en-US</dc:language>
  <cp:lastModifiedBy/>
  <dcterms:modified xsi:type="dcterms:W3CDTF">2026-04-20T17:40:29Z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